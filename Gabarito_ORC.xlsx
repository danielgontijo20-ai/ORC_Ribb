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3135c2a9333c642c/Área de Trabalho/ORC/Orçamentos Ribbontech/"/>
    </mc:Choice>
  </mc:AlternateContent>
  <xr:revisionPtr revIDLastSave="1123" documentId="13_ncr:1_{41266F77-BD04-40CB-8AC9-C6D56D8C0469}" xr6:coauthVersionLast="47" xr6:coauthVersionMax="47" xr10:uidLastSave="{5847E6D3-AFBF-4A55-AAFC-391D1AE10336}"/>
  <bookViews>
    <workbookView xWindow="-120" yWindow="-120" windowWidth="29040" windowHeight="15720" xr2:uid="{00000000-000D-0000-FFFF-FFFF00000000}"/>
  </bookViews>
  <sheets>
    <sheet name="Orçamento" sheetId="1" r:id="rId1"/>
    <sheet name="Caixa" sheetId="7" r:id="rId2"/>
    <sheet name="Substrato" sheetId="3" r:id="rId3"/>
    <sheet name="Tubete" sheetId="4" r:id="rId4"/>
    <sheet name="Faca" sheetId="2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D8" i="1" l="1"/>
  <c r="C8" i="1" s="1"/>
  <c r="B4" i="3"/>
  <c r="B5" i="3" l="1"/>
  <c r="C6" i="1" l="1"/>
  <c r="H13" i="1" s="1"/>
  <c r="C7" i="1"/>
  <c r="H5" i="1"/>
  <c r="B7" i="3"/>
  <c r="B11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3" i="2"/>
  <c r="H8" i="1"/>
  <c r="H7" i="1"/>
  <c r="C3" i="1" l="1"/>
  <c r="C4" i="1" s="1"/>
  <c r="C13" i="1" l="1"/>
  <c r="G4" i="1" s="1"/>
  <c r="H4" i="1" s="1"/>
  <c r="H9" i="1" s="1"/>
  <c r="C5" i="1"/>
  <c r="D6" i="1" s="1"/>
  <c r="H10" i="1" l="1"/>
  <c r="H15" i="1" s="1"/>
  <c r="H11" i="1" l="1"/>
  <c r="H12" i="1" s="1"/>
  <c r="H14" i="1" s="1"/>
</calcChain>
</file>

<file path=xl/sharedStrings.xml><?xml version="1.0" encoding="utf-8"?>
<sst xmlns="http://schemas.openxmlformats.org/spreadsheetml/2006/main" count="96" uniqueCount="90">
  <si>
    <t>Preço de etiqueta</t>
  </si>
  <si>
    <t>Dimensão</t>
  </si>
  <si>
    <t xml:space="preserve">Cálculo de preço </t>
  </si>
  <si>
    <t>Custo</t>
  </si>
  <si>
    <t>Nr. de rolos</t>
  </si>
  <si>
    <t>Frete</t>
  </si>
  <si>
    <t>Substrato</t>
  </si>
  <si>
    <t>Quantidade</t>
  </si>
  <si>
    <t>Tubete (polegadas)</t>
  </si>
  <si>
    <t>Difal Produto</t>
  </si>
  <si>
    <t>Não</t>
  </si>
  <si>
    <t>Difal Frete</t>
  </si>
  <si>
    <t>Custo total</t>
  </si>
  <si>
    <t xml:space="preserve">Lucro </t>
  </si>
  <si>
    <t>Preço de venda s/imposto</t>
  </si>
  <si>
    <t>Preço de venda c/imposto</t>
  </si>
  <si>
    <t>Total</t>
  </si>
  <si>
    <t>Perda de material 2% - não incluso no preço de venda</t>
  </si>
  <si>
    <t>Valor da Venda</t>
  </si>
  <si>
    <t>Lucro total</t>
  </si>
  <si>
    <t>50 x 31 x 1</t>
  </si>
  <si>
    <t>51 x 51 x 1</t>
  </si>
  <si>
    <t>56 x 15 x 1</t>
  </si>
  <si>
    <t>100 x 31 x 1</t>
  </si>
  <si>
    <t>100 x 41 x 1</t>
  </si>
  <si>
    <t>100 x 49 x 1</t>
  </si>
  <si>
    <t>100 x 70 x 1</t>
  </si>
  <si>
    <t>100 x 73 x 1</t>
  </si>
  <si>
    <t>100 x 75 x 1</t>
  </si>
  <si>
    <t>100 x 80 x 1</t>
  </si>
  <si>
    <t>100 x 90 x 1</t>
  </si>
  <si>
    <t>100 x 100 x 1</t>
  </si>
  <si>
    <t>100 x 143 x 1</t>
  </si>
  <si>
    <t>102 x 197 x 1</t>
  </si>
  <si>
    <t>100 x 152 x 1</t>
  </si>
  <si>
    <t>105 x 299 x 1</t>
  </si>
  <si>
    <t>107 x 63 x 2</t>
  </si>
  <si>
    <t xml:space="preserve">30 x 15 x 3 </t>
  </si>
  <si>
    <t xml:space="preserve">33 x 21 x 3 </t>
  </si>
  <si>
    <t xml:space="preserve">48 x 32 x 1 </t>
  </si>
  <si>
    <t>área</t>
  </si>
  <si>
    <t>Gap vertical</t>
  </si>
  <si>
    <t>104 x 155 x 1</t>
  </si>
  <si>
    <t xml:space="preserve">104 x 25 x 1 </t>
  </si>
  <si>
    <t>m2/rolo</t>
  </si>
  <si>
    <t>m2/total</t>
  </si>
  <si>
    <t>110 x 1 pol</t>
  </si>
  <si>
    <t>110 x 3 pol</t>
  </si>
  <si>
    <t>106 x 1 pol</t>
  </si>
  <si>
    <t>106 x 3 pol</t>
  </si>
  <si>
    <t>mm2/por etiqueta</t>
  </si>
  <si>
    <t>104 x 170 x 2</t>
  </si>
  <si>
    <t>Termico Sem B. Fasson</t>
  </si>
  <si>
    <t>Adicionei 8% de segurança para orçamento Frigonor</t>
  </si>
  <si>
    <t>Largura</t>
  </si>
  <si>
    <t>Gap Lateral</t>
  </si>
  <si>
    <t>Altura</t>
  </si>
  <si>
    <t>Térmico Colacril</t>
  </si>
  <si>
    <t>Térmico TOP ADC5260 - R$3,60 +3,25% e IPI, icm's de 4%</t>
  </si>
  <si>
    <t>Couche Avery S2045 / Braga</t>
  </si>
  <si>
    <t>BOPP Protack AP718</t>
  </si>
  <si>
    <t xml:space="preserve">BOPP AP725 Protack Frigorífico </t>
  </si>
  <si>
    <t>Couche Protack Tackmelt</t>
  </si>
  <si>
    <t xml:space="preserve">Atualizado via mensagem de zap </t>
  </si>
  <si>
    <t>Térmico Protack 23g com Barreira</t>
  </si>
  <si>
    <t>Cotado com Felipe Térmico 23g com barreira R$3,36 (estimei 5% menos que o colacril)</t>
  </si>
  <si>
    <t>Atualizado via telefone com Renato as 9:17</t>
  </si>
  <si>
    <t>PEAD 80 Micras</t>
  </si>
  <si>
    <t>Custo de 1,80 m2 - Corresponde à R$23,50 o KG</t>
  </si>
  <si>
    <t>Couche Colacril</t>
  </si>
  <si>
    <t>Térmico Flaviano</t>
  </si>
  <si>
    <t>Custo de 2,3 m2 - Corresponde à R$30,0 o KG</t>
  </si>
  <si>
    <t>Transthermico Premium Colacril</t>
  </si>
  <si>
    <t>R$3,00m2 + 3,25% ipi + 12% ICMS</t>
  </si>
  <si>
    <t>PEAD NOVO (Frivasa) 16-06-26)</t>
  </si>
  <si>
    <t>Bopp Avery C2075 (ZERAD0)</t>
  </si>
  <si>
    <t>Via email 06/07/2026</t>
  </si>
  <si>
    <t>Via email 06/07/2026 (incluí 4,2% de perca)</t>
  </si>
  <si>
    <t>Custo da caixa</t>
  </si>
  <si>
    <t>Preço Atualizado</t>
  </si>
  <si>
    <t>Observações</t>
  </si>
  <si>
    <t>Preço de compra</t>
  </si>
  <si>
    <t>Custo Total</t>
  </si>
  <si>
    <t>Matéria Prima</t>
  </si>
  <si>
    <t>Tipo Tubete</t>
  </si>
  <si>
    <t xml:space="preserve">Custo </t>
  </si>
  <si>
    <t>Preço Compra</t>
  </si>
  <si>
    <t>Quantidade de etiquetas por rolo</t>
  </si>
  <si>
    <t>Tipo Faca</t>
  </si>
  <si>
    <t>Qtd de Embalagens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</si>
</sst>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7" formatCode="0.0000000"/>
    <numFmt numFmtId="169" formatCode="0.000000"/>
    <numFmt numFmtId="171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6" borderId="0" xfId="0" applyFill="1"/>
    <xf numFmtId="0" fontId="0" fillId="0" borderId="0" xfId="0" applyAlignment="1">
      <alignment horizontal="center"/>
    </xf>
    <xf numFmtId="44" fontId="0" fillId="0" borderId="0" xfId="3" applyFont="1"/>
    <xf numFmtId="0" fontId="0" fillId="6" borderId="0" xfId="0" applyFill="1" applyAlignment="1">
      <alignment horizontal="center"/>
    </xf>
    <xf numFmtId="171" fontId="0" fillId="6" borderId="1" xfId="0" applyNumberFormat="1" applyFill="1" applyBorder="1"/>
    <xf numFmtId="0" fontId="0" fillId="6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44" fontId="0" fillId="6" borderId="1" xfId="3" applyFont="1" applyFill="1" applyBorder="1" applyAlignment="1">
      <alignment horizontal="left"/>
    </xf>
    <xf numFmtId="0" fontId="0" fillId="6" borderId="1" xfId="0" applyFill="1" applyBorder="1"/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9" fontId="0" fillId="6" borderId="1" xfId="0" applyNumberFormat="1" applyFill="1" applyBorder="1" applyAlignment="1">
      <alignment horizontal="center"/>
    </xf>
    <xf numFmtId="0" fontId="0" fillId="6" borderId="0" xfId="0" applyFont="1" applyFill="1"/>
    <xf numFmtId="0" fontId="0" fillId="6" borderId="0" xfId="0" applyFont="1" applyFill="1" applyBorder="1"/>
    <xf numFmtId="43" fontId="3" fillId="6" borderId="0" xfId="1" applyFont="1" applyFill="1" applyBorder="1"/>
    <xf numFmtId="43" fontId="3" fillId="7" borderId="1" xfId="1" applyFont="1" applyFill="1" applyBorder="1" applyAlignment="1">
      <alignment horizontal="center"/>
    </xf>
    <xf numFmtId="43" fontId="3" fillId="7" borderId="1" xfId="1" applyFont="1" applyFill="1" applyBorder="1"/>
    <xf numFmtId="43" fontId="3" fillId="7" borderId="1" xfId="0" applyNumberFormat="1" applyFont="1" applyFill="1" applyBorder="1"/>
    <xf numFmtId="9" fontId="3" fillId="7" borderId="1" xfId="2" applyFont="1" applyFill="1" applyBorder="1"/>
    <xf numFmtId="0" fontId="3" fillId="7" borderId="1" xfId="0" applyFont="1" applyFill="1" applyBorder="1" applyAlignment="1">
      <alignment vertical="center"/>
    </xf>
    <xf numFmtId="0" fontId="0" fillId="7" borderId="1" xfId="0" applyFont="1" applyFill="1" applyBorder="1"/>
    <xf numFmtId="0" fontId="6" fillId="7" borderId="2" xfId="0" applyFont="1" applyFill="1" applyBorder="1"/>
    <xf numFmtId="0" fontId="3" fillId="7" borderId="4" xfId="0" applyFont="1" applyFill="1" applyBorder="1"/>
    <xf numFmtId="0" fontId="6" fillId="7" borderId="5" xfId="0" applyFont="1" applyFill="1" applyBorder="1"/>
    <xf numFmtId="43" fontId="3" fillId="7" borderId="6" xfId="1" applyFont="1" applyFill="1" applyBorder="1" applyAlignment="1">
      <alignment horizontal="center"/>
    </xf>
    <xf numFmtId="0" fontId="6" fillId="7" borderId="7" xfId="0" applyFont="1" applyFill="1" applyBorder="1"/>
    <xf numFmtId="43" fontId="3" fillId="7" borderId="8" xfId="1" applyFont="1" applyFill="1" applyBorder="1" applyAlignment="1">
      <alignment horizontal="center"/>
    </xf>
    <xf numFmtId="43" fontId="3" fillId="7" borderId="9" xfId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3" fontId="3" fillId="7" borderId="6" xfId="1" applyFont="1" applyFill="1" applyBorder="1"/>
    <xf numFmtId="164" fontId="3" fillId="7" borderId="6" xfId="1" applyNumberFormat="1" applyFont="1" applyFill="1" applyBorder="1"/>
    <xf numFmtId="0" fontId="6" fillId="7" borderId="5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43" fontId="6" fillId="5" borderId="1" xfId="1" applyFont="1" applyFill="1" applyBorder="1" applyAlignment="1">
      <alignment horizontal="center"/>
    </xf>
    <xf numFmtId="10" fontId="6" fillId="5" borderId="1" xfId="2" applyNumberFormat="1" applyFont="1" applyFill="1" applyBorder="1"/>
    <xf numFmtId="43" fontId="3" fillId="4" borderId="3" xfId="1" applyFont="1" applyFill="1" applyBorder="1" applyAlignment="1">
      <alignment horizontal="center"/>
    </xf>
    <xf numFmtId="43" fontId="3" fillId="4" borderId="1" xfId="1" applyFont="1" applyFill="1" applyBorder="1" applyAlignment="1">
      <alignment horizontal="left"/>
    </xf>
    <xf numFmtId="43" fontId="3" fillId="4" borderId="1" xfId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6" fillId="5" borderId="1" xfId="3" applyFont="1" applyFill="1" applyBorder="1" applyAlignment="1">
      <alignment horizontal="center"/>
    </xf>
    <xf numFmtId="44" fontId="0" fillId="5" borderId="0" xfId="3" applyFont="1" applyFill="1"/>
    <xf numFmtId="167" fontId="3" fillId="3" borderId="3" xfId="0" applyNumberFormat="1" applyFont="1" applyFill="1" applyBorder="1"/>
    <xf numFmtId="43" fontId="3" fillId="3" borderId="1" xfId="1" applyFont="1" applyFill="1" applyBorder="1"/>
    <xf numFmtId="44" fontId="3" fillId="3" borderId="1" xfId="3" applyFont="1" applyFill="1" applyBorder="1"/>
    <xf numFmtId="7" fontId="3" fillId="3" borderId="6" xfId="1" applyNumberFormat="1" applyFont="1" applyFill="1" applyBorder="1" applyAlignment="1">
      <alignment horizontal="center"/>
    </xf>
    <xf numFmtId="44" fontId="3" fillId="3" borderId="6" xfId="3" applyFont="1" applyFill="1" applyBorder="1" applyAlignment="1">
      <alignment horizontal="center"/>
    </xf>
    <xf numFmtId="44" fontId="3" fillId="3" borderId="1" xfId="3" applyFont="1" applyFill="1" applyBorder="1" applyAlignment="1">
      <alignment horizontal="center"/>
    </xf>
    <xf numFmtId="44" fontId="3" fillId="3" borderId="6" xfId="3" applyFont="1" applyFill="1" applyBorder="1"/>
    <xf numFmtId="43" fontId="3" fillId="3" borderId="1" xfId="0" applyNumberFormat="1" applyFont="1" applyFill="1" applyBorder="1" applyAlignment="1">
      <alignment horizontal="center"/>
    </xf>
    <xf numFmtId="44" fontId="3" fillId="3" borderId="6" xfId="3" applyFont="1" applyFill="1" applyBorder="1" applyAlignment="1">
      <alignment vertical="center"/>
    </xf>
    <xf numFmtId="44" fontId="3" fillId="3" borderId="9" xfId="3" applyFont="1" applyFill="1" applyBorder="1" applyAlignment="1">
      <alignment vertical="center"/>
    </xf>
    <xf numFmtId="0" fontId="0" fillId="8" borderId="0" xfId="0" applyFill="1"/>
    <xf numFmtId="44" fontId="3" fillId="3" borderId="8" xfId="3" applyFont="1" applyFill="1" applyBorder="1"/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13</xdr:row>
      <xdr:rowOff>266700</xdr:rowOff>
    </xdr:from>
    <xdr:to>
      <xdr:col>5</xdr:col>
      <xdr:colOff>876300</xdr:colOff>
      <xdr:row>15</xdr:row>
      <xdr:rowOff>80009</xdr:rowOff>
    </xdr:to>
    <xdr:sp macro="" textlink="">
      <xdr:nvSpPr>
        <xdr:cNvPr id="2" name="AutoShape 1" descr="blob:https://web.whatsapp.com/fb262d3a-1778-4708-95de-f5b70c8bf5e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000875" y="3714750"/>
          <a:ext cx="304800" cy="36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571500</xdr:colOff>
      <xdr:row>14</xdr:row>
      <xdr:rowOff>266700</xdr:rowOff>
    </xdr:from>
    <xdr:ext cx="304800" cy="303119"/>
    <xdr:sp macro="" textlink="">
      <xdr:nvSpPr>
        <xdr:cNvPr id="3" name="AutoShape 1" descr="blob:https://web.whatsapp.com/fb262d3a-1778-4708-95de-f5b70c8bf5e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000875" y="3981450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Ribbontec/Projeto%20Etiqueta/C&#225;lculo%20de%20pre&#231;o%20-%20Projeto%20etiqueta.xlsx" TargetMode="External"/><Relationship Id="rId1" Type="http://schemas.openxmlformats.org/officeDocument/2006/relationships/externalLinkPath" Target="/3135c2a9333c642c/&#193;rea%20de%20Trabalho/ORC/Ribbontec/Projeto%20Etiqueta/C&#225;lculo%20de%20pre&#231;o%20-%20Projeto%20etique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ca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16"/>
  <sheetViews>
    <sheetView showGridLines="0" tabSelected="1" zoomScale="85" zoomScaleNormal="85" workbookViewId="0">
      <selection activeCell="B3" sqref="B3"/>
    </sheetView>
  </sheetViews>
  <sheetFormatPr defaultRowHeight="15" x14ac:dyDescent="0.25"/>
  <cols>
    <col min="1" max="1" width="44.85546875" bestFit="1" customWidth="1"/>
    <col min="2" max="2" width="39" customWidth="1"/>
    <col min="3" max="3" width="17.7109375" customWidth="1"/>
    <col min="4" max="4" width="23.42578125" customWidth="1"/>
    <col min="5" max="5" width="10.140625" customWidth="1"/>
    <col min="6" max="6" width="71.7109375" bestFit="1" customWidth="1"/>
    <col min="7" max="7" width="20.42578125" bestFit="1" customWidth="1"/>
    <col min="8" max="8" width="18.7109375" customWidth="1"/>
    <col min="9" max="9" width="2.140625" customWidth="1"/>
  </cols>
  <sheetData>
    <row r="1" spans="1:8" ht="23.25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15.75" thickBot="1" x14ac:dyDescent="0.3"/>
    <row r="3" spans="1:8" ht="26.25" x14ac:dyDescent="0.35">
      <c r="A3" s="24" t="s">
        <v>1</v>
      </c>
      <c r="B3" s="41" t="s">
        <v>31</v>
      </c>
      <c r="C3" s="47">
        <f>VLOOKUP(B3,Faca!A2:F26,6,0)</f>
        <v>1.0989295600000001E-2</v>
      </c>
      <c r="D3" s="25" t="s">
        <v>50</v>
      </c>
      <c r="E3" s="15"/>
      <c r="F3" s="31" t="s">
        <v>2</v>
      </c>
      <c r="G3" s="32"/>
      <c r="H3" s="33"/>
    </row>
    <row r="4" spans="1:8" ht="21" x14ac:dyDescent="0.35">
      <c r="A4" s="26" t="s">
        <v>87</v>
      </c>
      <c r="B4" s="39">
        <v>1000</v>
      </c>
      <c r="C4" s="48">
        <f>C3*B4</f>
        <v>10.9892956</v>
      </c>
      <c r="D4" s="27" t="s">
        <v>44</v>
      </c>
      <c r="E4" s="15"/>
      <c r="F4" s="26" t="s">
        <v>3</v>
      </c>
      <c r="G4" s="52">
        <f>C13</f>
        <v>37.074675480000003</v>
      </c>
      <c r="H4" s="53">
        <f>G4</f>
        <v>37.074675480000003</v>
      </c>
    </row>
    <row r="5" spans="1:8" ht="21" x14ac:dyDescent="0.35">
      <c r="A5" s="26" t="s">
        <v>4</v>
      </c>
      <c r="B5" s="39">
        <v>50</v>
      </c>
      <c r="C5" s="48">
        <f>C4*B5</f>
        <v>549.46478000000002</v>
      </c>
      <c r="D5" s="27" t="s">
        <v>45</v>
      </c>
      <c r="E5" s="15"/>
      <c r="F5" s="26" t="s">
        <v>5</v>
      </c>
      <c r="G5" s="45">
        <v>80</v>
      </c>
      <c r="H5" s="53">
        <f>G5/G6</f>
        <v>1.6</v>
      </c>
    </row>
    <row r="6" spans="1:8" ht="18" customHeight="1" x14ac:dyDescent="0.35">
      <c r="A6" s="26" t="s">
        <v>6</v>
      </c>
      <c r="B6" s="42" t="s">
        <v>69</v>
      </c>
      <c r="C6" s="49">
        <f>VLOOKUP(B6,Substrato!A2:B14,2,0)</f>
        <v>3.3</v>
      </c>
      <c r="D6" s="50">
        <f>C5*C6</f>
        <v>1813.233774</v>
      </c>
      <c r="E6" s="15"/>
      <c r="F6" s="26" t="s">
        <v>7</v>
      </c>
      <c r="G6" s="54">
        <f>B5</f>
        <v>50</v>
      </c>
      <c r="H6" s="35"/>
    </row>
    <row r="7" spans="1:8" ht="21" x14ac:dyDescent="0.35">
      <c r="A7" s="26" t="s">
        <v>8</v>
      </c>
      <c r="B7" s="43" t="s">
        <v>46</v>
      </c>
      <c r="C7" s="49">
        <f>VLOOKUP(B7,Tubete!A1:C13,3,0)</f>
        <v>0.31</v>
      </c>
      <c r="D7" s="27"/>
      <c r="E7" s="15"/>
      <c r="F7" s="26" t="s">
        <v>9</v>
      </c>
      <c r="G7" s="44" t="s">
        <v>10</v>
      </c>
      <c r="H7" s="34">
        <f>IF(G7="sim",#REF!,IF(G7="não",0))</f>
        <v>0</v>
      </c>
    </row>
    <row r="8" spans="1:8" ht="21" x14ac:dyDescent="0.35">
      <c r="A8" s="26" t="s">
        <v>89</v>
      </c>
      <c r="B8" s="39">
        <v>5</v>
      </c>
      <c r="C8" s="49">
        <f>(B8*D8)/B5</f>
        <v>0.5</v>
      </c>
      <c r="D8" s="51">
        <f>Caixa!B2</f>
        <v>5</v>
      </c>
      <c r="E8" s="15"/>
      <c r="F8" s="26" t="s">
        <v>11</v>
      </c>
      <c r="G8" s="44" t="s">
        <v>10</v>
      </c>
      <c r="H8" s="34">
        <f>IF(G8="sim",#REF!,IF(G8="não",0))</f>
        <v>0</v>
      </c>
    </row>
    <row r="9" spans="1:8" ht="21" x14ac:dyDescent="0.35">
      <c r="A9" s="26"/>
      <c r="B9" s="18"/>
      <c r="C9" s="19"/>
      <c r="D9" s="27"/>
      <c r="E9" s="15"/>
      <c r="F9" s="26" t="s">
        <v>12</v>
      </c>
      <c r="G9" s="19"/>
      <c r="H9" s="53">
        <f>H4+H5+H7+H8</f>
        <v>38.674675480000005</v>
      </c>
    </row>
    <row r="10" spans="1:8" ht="21" x14ac:dyDescent="0.35">
      <c r="A10" s="26"/>
      <c r="B10" s="18"/>
      <c r="C10" s="19"/>
      <c r="D10" s="27"/>
      <c r="E10" s="15"/>
      <c r="F10" s="26" t="s">
        <v>13</v>
      </c>
      <c r="G10" s="40">
        <v>0.3</v>
      </c>
      <c r="H10" s="53">
        <f>H4*G10</f>
        <v>11.122402644000001</v>
      </c>
    </row>
    <row r="11" spans="1:8" ht="21" x14ac:dyDescent="0.35">
      <c r="A11" s="26"/>
      <c r="B11" s="18"/>
      <c r="C11" s="19"/>
      <c r="D11" s="27"/>
      <c r="E11" s="15"/>
      <c r="F11" s="26" t="s">
        <v>14</v>
      </c>
      <c r="G11" s="21">
        <v>0</v>
      </c>
      <c r="H11" s="53">
        <f>SUM(H9:H10)</f>
        <v>49.797078124000009</v>
      </c>
    </row>
    <row r="12" spans="1:8" ht="21" x14ac:dyDescent="0.35">
      <c r="A12" s="26"/>
      <c r="B12" s="18"/>
      <c r="C12" s="20"/>
      <c r="D12" s="27"/>
      <c r="E12" s="15"/>
      <c r="F12" s="36" t="s">
        <v>15</v>
      </c>
      <c r="G12" s="22"/>
      <c r="H12" s="55">
        <f>H11/0.92</f>
        <v>54.127258830434791</v>
      </c>
    </row>
    <row r="13" spans="1:8" ht="21.75" thickBot="1" x14ac:dyDescent="0.4">
      <c r="A13" s="28" t="s">
        <v>16</v>
      </c>
      <c r="B13" s="29"/>
      <c r="C13" s="58">
        <f>(C4*C6)+C7+C8</f>
        <v>37.074675480000003</v>
      </c>
      <c r="D13" s="30"/>
      <c r="E13" s="15"/>
      <c r="F13" s="26" t="s">
        <v>17</v>
      </c>
      <c r="G13" s="23"/>
      <c r="H13" s="53">
        <f>C6*0.02</f>
        <v>6.6000000000000003E-2</v>
      </c>
    </row>
    <row r="14" spans="1:8" ht="21" x14ac:dyDescent="0.35">
      <c r="A14" s="16"/>
      <c r="B14" s="16"/>
      <c r="C14" s="17"/>
      <c r="D14" s="16"/>
      <c r="E14" s="15"/>
      <c r="F14" s="36" t="s">
        <v>18</v>
      </c>
      <c r="G14" s="22"/>
      <c r="H14" s="55">
        <f>H12*G6</f>
        <v>2706.3629415217397</v>
      </c>
    </row>
    <row r="15" spans="1:8" ht="21.75" thickBot="1" x14ac:dyDescent="0.3">
      <c r="A15" s="16"/>
      <c r="B15" s="16"/>
      <c r="C15" s="16"/>
      <c r="D15" s="16"/>
      <c r="E15" s="15"/>
      <c r="F15" s="37" t="s">
        <v>19</v>
      </c>
      <c r="G15" s="38"/>
      <c r="H15" s="56">
        <f>H10*G6</f>
        <v>556.12013220000006</v>
      </c>
    </row>
    <row r="16" spans="1:8" x14ac:dyDescent="0.25">
      <c r="H16" s="57"/>
    </row>
  </sheetData>
  <mergeCells count="2">
    <mergeCell ref="A1:H1"/>
    <mergeCell ref="F3:H3"/>
  </mergeCells>
  <dataValidations count="1">
    <dataValidation type="list" allowBlank="1" showInputMessage="1" showErrorMessage="1" sqref="G7:G8" xr:uid="{00000000-0002-0000-0000-00000000000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Tubete!$A$2:$A$5</xm:f>
          </x14:formula1>
          <xm:sqref>B7</xm:sqref>
        </x14:dataValidation>
        <x14:dataValidation type="list" allowBlank="1" showInputMessage="1" showErrorMessage="1" xr:uid="{00000000-0002-0000-0000-000003000000}">
          <x14:formula1>
            <xm:f>Substrato!$A$2:$A$14</xm:f>
          </x14:formula1>
          <xm:sqref>B6</xm:sqref>
        </x14:dataValidation>
        <x14:dataValidation type="list" allowBlank="1" showInputMessage="1" showErrorMessage="1" xr:uid="{00000000-0002-0000-0000-000004000000}">
          <x14:formula1>
            <xm:f>'https://d.docs.live.net/3135c2a9333c642c/Área de Trabalho/ORC/Ribbontec/Projeto Etiqueta/[Cálculo de preço - Projeto etiqueta.xlsx]Facas'!#REF!</xm:f>
          </x14:formula1>
          <xm:sqref>B10</xm:sqref>
        </x14:dataValidation>
        <x14:dataValidation type="list" allowBlank="1" showInputMessage="1" showErrorMessage="1" xr:uid="{00000000-0002-0000-0000-000005000000}">
          <x14:formula1>
            <xm:f>Faca!$A$3:$A$23</xm:f>
          </x14:formula1>
          <xm:sqref>B2</xm:sqref>
        </x14:dataValidation>
        <x14:dataValidation type="list" allowBlank="1" showInputMessage="1" showErrorMessage="1" xr:uid="{00000000-0002-0000-0000-000006000000}">
          <x14:formula1>
            <xm:f>Faca!$A$3:$A$26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D8FB-2889-4AD4-BFA0-F35DBA160073}">
  <dimension ref="A1:B2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</cols>
  <sheetData>
    <row r="1" spans="1:2" x14ac:dyDescent="0.25">
      <c r="B1" s="3"/>
    </row>
    <row r="2" spans="1:2" x14ac:dyDescent="0.25">
      <c r="A2" t="s">
        <v>78</v>
      </c>
      <c r="B2" s="46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E15"/>
  <sheetViews>
    <sheetView workbookViewId="0">
      <selection activeCell="C25" sqref="C25"/>
    </sheetView>
  </sheetViews>
  <sheetFormatPr defaultRowHeight="15" x14ac:dyDescent="0.25"/>
  <cols>
    <col min="1" max="1" width="30.42578125" style="1" customWidth="1"/>
    <col min="2" max="2" width="10.85546875" style="1" bestFit="1" customWidth="1"/>
    <col min="3" max="3" width="16" style="4" bestFit="1" customWidth="1"/>
    <col min="4" max="4" width="78.5703125" style="6" bestFit="1" customWidth="1"/>
    <col min="5" max="5" width="15.85546875" style="6" bestFit="1" customWidth="1"/>
    <col min="6" max="16384" width="9.140625" style="1"/>
  </cols>
  <sheetData>
    <row r="1" spans="1:5" s="1" customFormat="1" x14ac:dyDescent="0.25">
      <c r="A1" s="11" t="s">
        <v>83</v>
      </c>
      <c r="B1" s="11" t="s">
        <v>82</v>
      </c>
      <c r="C1" s="12" t="s">
        <v>79</v>
      </c>
      <c r="D1" s="9" t="s">
        <v>80</v>
      </c>
      <c r="E1" s="13" t="s">
        <v>81</v>
      </c>
    </row>
    <row r="2" spans="1:5" s="1" customFormat="1" x14ac:dyDescent="0.25">
      <c r="A2" s="11" t="s">
        <v>59</v>
      </c>
      <c r="B2" s="5">
        <v>3.28</v>
      </c>
      <c r="C2" s="8">
        <v>45986</v>
      </c>
      <c r="D2" s="9" t="s">
        <v>66</v>
      </c>
      <c r="E2" s="10">
        <v>2.8</v>
      </c>
    </row>
    <row r="3" spans="1:5" s="1" customFormat="1" x14ac:dyDescent="0.25">
      <c r="A3" s="11" t="s">
        <v>75</v>
      </c>
      <c r="B3" s="5"/>
      <c r="C3" s="8">
        <v>46001</v>
      </c>
      <c r="D3" s="9"/>
      <c r="E3" s="11"/>
    </row>
    <row r="4" spans="1:5" s="1" customFormat="1" x14ac:dyDescent="0.25">
      <c r="A4" s="11" t="s">
        <v>60</v>
      </c>
      <c r="B4" s="5">
        <f>4.4*1.042</f>
        <v>4.5848000000000004</v>
      </c>
      <c r="C4" s="8">
        <v>46209</v>
      </c>
      <c r="D4" s="9" t="s">
        <v>77</v>
      </c>
      <c r="E4" s="10">
        <v>3.91</v>
      </c>
    </row>
    <row r="5" spans="1:5" s="1" customFormat="1" x14ac:dyDescent="0.25">
      <c r="A5" s="11" t="s">
        <v>52</v>
      </c>
      <c r="B5" s="5">
        <f>3.99+8%*3.99</f>
        <v>4.3092000000000006</v>
      </c>
      <c r="C5" s="8">
        <v>45653</v>
      </c>
      <c r="D5" s="9" t="s">
        <v>53</v>
      </c>
      <c r="E5" s="10"/>
    </row>
    <row r="6" spans="1:5" s="1" customFormat="1" x14ac:dyDescent="0.25">
      <c r="A6" s="11" t="s">
        <v>69</v>
      </c>
      <c r="B6" s="5">
        <v>3.3</v>
      </c>
      <c r="C6" s="8">
        <v>46209</v>
      </c>
      <c r="D6" s="9" t="s">
        <v>76</v>
      </c>
      <c r="E6" s="10">
        <v>2.84</v>
      </c>
    </row>
    <row r="7" spans="1:5" s="1" customFormat="1" x14ac:dyDescent="0.25">
      <c r="A7" s="11" t="s">
        <v>72</v>
      </c>
      <c r="B7" s="5">
        <f>3.46+0.08*3.46</f>
        <v>3.7368000000000001</v>
      </c>
      <c r="C7" s="8">
        <v>46141</v>
      </c>
      <c r="D7" s="9" t="s">
        <v>73</v>
      </c>
      <c r="E7" s="10"/>
    </row>
    <row r="8" spans="1:5" s="1" customFormat="1" x14ac:dyDescent="0.25">
      <c r="A8" s="11" t="s">
        <v>57</v>
      </c>
      <c r="B8" s="5">
        <v>4.5999999999999996</v>
      </c>
      <c r="C8" s="8">
        <v>45742</v>
      </c>
      <c r="D8" s="9" t="s">
        <v>58</v>
      </c>
      <c r="E8" s="10">
        <v>3.6</v>
      </c>
    </row>
    <row r="9" spans="1:5" s="1" customFormat="1" x14ac:dyDescent="0.25">
      <c r="A9" s="11" t="s">
        <v>70</v>
      </c>
      <c r="B9" s="5">
        <v>4.5999999999999996</v>
      </c>
      <c r="C9" s="8">
        <v>45994</v>
      </c>
      <c r="D9" s="9"/>
      <c r="E9" s="10">
        <v>3.6</v>
      </c>
    </row>
    <row r="10" spans="1:5" s="1" customFormat="1" x14ac:dyDescent="0.25">
      <c r="A10" s="11" t="s">
        <v>61</v>
      </c>
      <c r="B10" s="5">
        <v>4.45</v>
      </c>
      <c r="C10" s="8">
        <v>46209</v>
      </c>
      <c r="D10" s="9" t="s">
        <v>76</v>
      </c>
      <c r="E10" s="10">
        <v>3.96</v>
      </c>
    </row>
    <row r="11" spans="1:5" s="1" customFormat="1" x14ac:dyDescent="0.25">
      <c r="A11" s="11" t="s">
        <v>62</v>
      </c>
      <c r="B11" s="5">
        <f>3.14+0.14</f>
        <v>3.2800000000000002</v>
      </c>
      <c r="C11" s="8">
        <v>45929</v>
      </c>
      <c r="D11" s="9" t="s">
        <v>63</v>
      </c>
      <c r="E11" s="10">
        <v>2.72</v>
      </c>
    </row>
    <row r="12" spans="1:5" s="1" customFormat="1" x14ac:dyDescent="0.25">
      <c r="A12" s="11" t="s">
        <v>64</v>
      </c>
      <c r="B12" s="5">
        <v>4.37</v>
      </c>
      <c r="C12" s="8">
        <v>45960</v>
      </c>
      <c r="D12" s="9" t="s">
        <v>65</v>
      </c>
      <c r="E12" s="10"/>
    </row>
    <row r="13" spans="1:5" s="1" customFormat="1" x14ac:dyDescent="0.25">
      <c r="A13" s="11" t="s">
        <v>67</v>
      </c>
      <c r="B13" s="5">
        <v>2.35</v>
      </c>
      <c r="C13" s="8">
        <v>45677</v>
      </c>
      <c r="D13" s="9" t="s">
        <v>68</v>
      </c>
      <c r="E13" s="10"/>
    </row>
    <row r="14" spans="1:5" s="1" customFormat="1" x14ac:dyDescent="0.25">
      <c r="A14" s="11" t="s">
        <v>74</v>
      </c>
      <c r="B14" s="5">
        <v>2.91</v>
      </c>
      <c r="C14" s="8">
        <v>45677</v>
      </c>
      <c r="D14" s="9" t="s">
        <v>71</v>
      </c>
      <c r="E14" s="10"/>
    </row>
    <row r="15" spans="1:5" s="1" customFormat="1" x14ac:dyDescent="0.25">
      <c r="A15" s="11"/>
      <c r="B15" s="5">
        <v>2.73</v>
      </c>
      <c r="C15" s="13"/>
      <c r="D15" s="9"/>
      <c r="E15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C5"/>
  <sheetViews>
    <sheetView workbookViewId="0">
      <selection activeCell="L13" sqref="L13"/>
    </sheetView>
  </sheetViews>
  <sheetFormatPr defaultRowHeight="15" x14ac:dyDescent="0.25"/>
  <cols>
    <col min="1" max="1" width="11.5703125" style="2" bestFit="1" customWidth="1"/>
    <col min="2" max="2" width="13.42578125" style="2" bestFit="1" customWidth="1"/>
    <col min="3" max="3" width="6.42578125" style="2" bestFit="1" customWidth="1"/>
  </cols>
  <sheetData>
    <row r="1" spans="1:3" x14ac:dyDescent="0.25">
      <c r="A1" s="2" t="s">
        <v>84</v>
      </c>
      <c r="B1" s="2" t="s">
        <v>86</v>
      </c>
      <c r="C1" s="2" t="s">
        <v>85</v>
      </c>
    </row>
    <row r="2" spans="1:3" x14ac:dyDescent="0.25">
      <c r="A2" s="2" t="s">
        <v>46</v>
      </c>
      <c r="B2" s="2">
        <v>0.15260000000000001</v>
      </c>
      <c r="C2" s="2">
        <v>0.31</v>
      </c>
    </row>
    <row r="3" spans="1:3" x14ac:dyDescent="0.25">
      <c r="A3" s="2" t="s">
        <v>47</v>
      </c>
      <c r="B3" s="2">
        <v>0.65790000000000004</v>
      </c>
      <c r="C3" s="2">
        <v>0.86</v>
      </c>
    </row>
    <row r="4" spans="1:3" x14ac:dyDescent="0.25">
      <c r="A4" s="2" t="s">
        <v>48</v>
      </c>
      <c r="B4" s="2">
        <v>0.14699999999999999</v>
      </c>
      <c r="C4" s="2">
        <v>0.34</v>
      </c>
    </row>
    <row r="5" spans="1:3" x14ac:dyDescent="0.25">
      <c r="A5" s="2" t="s">
        <v>49</v>
      </c>
      <c r="B5" s="2">
        <v>0.5736</v>
      </c>
      <c r="C5" s="2">
        <v>0.96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F26"/>
  <sheetViews>
    <sheetView zoomScale="130" zoomScaleNormal="130" workbookViewId="0">
      <pane ySplit="2" topLeftCell="A3" activePane="bottomLeft" state="frozen"/>
      <selection pane="bottomLeft" activeCell="G1" sqref="G1:G1048576"/>
    </sheetView>
  </sheetViews>
  <sheetFormatPr defaultRowHeight="15" x14ac:dyDescent="0.25"/>
  <cols>
    <col min="1" max="1" width="12.85546875" style="2" customWidth="1"/>
    <col min="2" max="2" width="13.5703125" style="2" customWidth="1"/>
    <col min="3" max="3" width="9.140625" style="2"/>
    <col min="4" max="4" width="15.5703125" style="2" customWidth="1"/>
    <col min="5" max="5" width="12.85546875" style="2" customWidth="1"/>
    <col min="6" max="6" width="9.140625" style="2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13" t="s">
        <v>88</v>
      </c>
      <c r="B2" s="13" t="s">
        <v>54</v>
      </c>
      <c r="C2" s="13" t="s">
        <v>56</v>
      </c>
      <c r="D2" s="13" t="s">
        <v>55</v>
      </c>
      <c r="E2" s="13" t="s">
        <v>41</v>
      </c>
      <c r="F2" s="13" t="s">
        <v>40</v>
      </c>
    </row>
    <row r="3" spans="1:6" x14ac:dyDescent="0.25">
      <c r="A3" s="13" t="s">
        <v>37</v>
      </c>
      <c r="B3" s="13">
        <v>0.03</v>
      </c>
      <c r="C3" s="13">
        <v>1.4999999999999999E-2</v>
      </c>
      <c r="D3" s="13">
        <v>6.0000000000000001E-3</v>
      </c>
      <c r="E3" s="13">
        <v>3.3029000000000001E-3</v>
      </c>
      <c r="F3" s="14">
        <f>(B3+D3)*(C3+E3)</f>
        <v>6.5890440000000001E-4</v>
      </c>
    </row>
    <row r="4" spans="1:6" x14ac:dyDescent="0.25">
      <c r="A4" s="13" t="s">
        <v>38</v>
      </c>
      <c r="B4" s="13">
        <v>3.3000000000000002E-2</v>
      </c>
      <c r="C4" s="13">
        <v>2.1000000000000001E-2</v>
      </c>
      <c r="D4" s="13">
        <v>6.0000000000000001E-3</v>
      </c>
      <c r="E4" s="13">
        <v>2.9345999999999999E-3</v>
      </c>
      <c r="F4" s="14">
        <f t="shared" ref="F4:F26" si="0">(B4+D4)*(C4+E4)</f>
        <v>9.3344939999999996E-4</v>
      </c>
    </row>
    <row r="5" spans="1:6" x14ac:dyDescent="0.25">
      <c r="A5" s="13" t="s">
        <v>39</v>
      </c>
      <c r="B5" s="13">
        <v>4.8000000000000001E-2</v>
      </c>
      <c r="C5" s="13">
        <v>3.2000000000000001E-2</v>
      </c>
      <c r="D5" s="13">
        <v>6.0000000000000001E-3</v>
      </c>
      <c r="E5" s="13">
        <v>2.5722000000000002E-3</v>
      </c>
      <c r="F5" s="14">
        <f t="shared" si="0"/>
        <v>1.8668987999999999E-3</v>
      </c>
    </row>
    <row r="6" spans="1:6" x14ac:dyDescent="0.25">
      <c r="A6" s="13" t="s">
        <v>20</v>
      </c>
      <c r="B6" s="13">
        <v>0.05</v>
      </c>
      <c r="C6" s="13">
        <v>3.1E-2</v>
      </c>
      <c r="D6" s="13">
        <v>6.0000000000000001E-3</v>
      </c>
      <c r="E6" s="13">
        <v>3.5722000000000002E-3</v>
      </c>
      <c r="F6" s="14">
        <f t="shared" si="0"/>
        <v>1.9360432E-3</v>
      </c>
    </row>
    <row r="7" spans="1:6" x14ac:dyDescent="0.25">
      <c r="A7" s="13" t="s">
        <v>21</v>
      </c>
      <c r="B7" s="13">
        <v>5.0999999999999997E-2</v>
      </c>
      <c r="C7" s="13">
        <v>5.0999999999999997E-2</v>
      </c>
      <c r="D7" s="13">
        <v>6.0000000000000001E-3</v>
      </c>
      <c r="E7" s="13">
        <v>2.9750000000000002E-3</v>
      </c>
      <c r="F7" s="14">
        <f t="shared" si="0"/>
        <v>3.0765749999999994E-3</v>
      </c>
    </row>
    <row r="8" spans="1:6" x14ac:dyDescent="0.25">
      <c r="A8" s="13" t="s">
        <v>22</v>
      </c>
      <c r="B8" s="13">
        <v>5.6000000000000001E-2</v>
      </c>
      <c r="C8" s="13">
        <v>1.4999999999999999E-2</v>
      </c>
      <c r="D8" s="13">
        <v>6.0000000000000001E-3</v>
      </c>
      <c r="E8" s="13">
        <v>3.3029000000000001E-3</v>
      </c>
      <c r="F8" s="14">
        <f t="shared" si="0"/>
        <v>1.1347798000000001E-3</v>
      </c>
    </row>
    <row r="9" spans="1:6" x14ac:dyDescent="0.25">
      <c r="A9" s="13" t="s">
        <v>23</v>
      </c>
      <c r="B9" s="13">
        <v>0.1</v>
      </c>
      <c r="C9" s="13">
        <v>3.1E-2</v>
      </c>
      <c r="D9" s="13">
        <v>6.0000000000000001E-3</v>
      </c>
      <c r="E9" s="13">
        <v>3.5722000000000002E-3</v>
      </c>
      <c r="F9" s="14">
        <f t="shared" si="0"/>
        <v>3.6646532E-3</v>
      </c>
    </row>
    <row r="10" spans="1:6" x14ac:dyDescent="0.25">
      <c r="A10" s="13" t="s">
        <v>24</v>
      </c>
      <c r="B10" s="13">
        <v>0.1</v>
      </c>
      <c r="C10" s="13">
        <v>4.1000000000000002E-2</v>
      </c>
      <c r="D10" s="13">
        <v>6.0000000000000001E-3</v>
      </c>
      <c r="E10" s="13">
        <v>3.4499999999999999E-3</v>
      </c>
      <c r="F10" s="14">
        <f t="shared" si="0"/>
        <v>4.711700000000001E-3</v>
      </c>
    </row>
    <row r="11" spans="1:6" x14ac:dyDescent="0.25">
      <c r="A11" s="13" t="s">
        <v>25</v>
      </c>
      <c r="B11" s="13">
        <v>0.1</v>
      </c>
      <c r="C11" s="13">
        <v>4.9000000000000002E-2</v>
      </c>
      <c r="D11" s="13">
        <v>6.0000000000000001E-3</v>
      </c>
      <c r="E11" s="13">
        <v>2.8582999999999998E-3</v>
      </c>
      <c r="F11" s="14">
        <f t="shared" si="0"/>
        <v>5.4969798000000011E-3</v>
      </c>
    </row>
    <row r="12" spans="1:6" x14ac:dyDescent="0.25">
      <c r="A12" s="13" t="s">
        <v>26</v>
      </c>
      <c r="B12" s="13">
        <v>0.1</v>
      </c>
      <c r="C12" s="13">
        <v>7.0000000000000007E-2</v>
      </c>
      <c r="D12" s="13">
        <v>6.0000000000000001E-3</v>
      </c>
      <c r="E12" s="13">
        <v>3.0249999999999999E-3</v>
      </c>
      <c r="F12" s="14">
        <f t="shared" si="0"/>
        <v>7.7406500000000017E-3</v>
      </c>
    </row>
    <row r="13" spans="1:6" x14ac:dyDescent="0.25">
      <c r="A13" s="13" t="s">
        <v>27</v>
      </c>
      <c r="B13" s="13">
        <v>0.1</v>
      </c>
      <c r="C13" s="13">
        <v>7.2999999999999995E-2</v>
      </c>
      <c r="D13" s="13">
        <v>6.0000000000000001E-3</v>
      </c>
      <c r="E13" s="13">
        <v>4.7875000000000001E-3</v>
      </c>
      <c r="F13" s="14">
        <f t="shared" si="0"/>
        <v>8.2454750000000004E-3</v>
      </c>
    </row>
    <row r="14" spans="1:6" x14ac:dyDescent="0.25">
      <c r="A14" s="13" t="s">
        <v>28</v>
      </c>
      <c r="B14" s="13">
        <v>0.1</v>
      </c>
      <c r="C14" s="13">
        <v>7.4999999999999997E-2</v>
      </c>
      <c r="D14" s="13">
        <v>6.0000000000000001E-3</v>
      </c>
      <c r="E14" s="13">
        <v>2.787E-3</v>
      </c>
      <c r="F14" s="14">
        <f t="shared" si="0"/>
        <v>8.2454220000000005E-3</v>
      </c>
    </row>
    <row r="15" spans="1:6" x14ac:dyDescent="0.25">
      <c r="A15" s="13" t="s">
        <v>29</v>
      </c>
      <c r="B15" s="13">
        <v>0.1</v>
      </c>
      <c r="C15" s="13">
        <v>0.08</v>
      </c>
      <c r="D15" s="13">
        <v>6.0000000000000001E-3</v>
      </c>
      <c r="E15" s="13">
        <v>2.5500000000000002E-3</v>
      </c>
      <c r="F15" s="14">
        <f t="shared" si="0"/>
        <v>8.7503000000000008E-3</v>
      </c>
    </row>
    <row r="16" spans="1:6" x14ac:dyDescent="0.25">
      <c r="A16" s="13" t="s">
        <v>30</v>
      </c>
      <c r="B16" s="13">
        <v>0.1</v>
      </c>
      <c r="C16" s="13">
        <v>0.09</v>
      </c>
      <c r="D16" s="13">
        <v>6.0000000000000001E-3</v>
      </c>
      <c r="E16" s="13">
        <v>3.0000000000000001E-3</v>
      </c>
      <c r="F16" s="14">
        <f t="shared" si="0"/>
        <v>9.8580000000000004E-3</v>
      </c>
    </row>
    <row r="17" spans="1:6" x14ac:dyDescent="0.25">
      <c r="A17" s="13" t="s">
        <v>31</v>
      </c>
      <c r="B17" s="13">
        <v>0.1</v>
      </c>
      <c r="C17" s="13">
        <v>0.1</v>
      </c>
      <c r="D17" s="13">
        <v>6.0000000000000001E-3</v>
      </c>
      <c r="E17" s="13">
        <v>3.6725999999999998E-3</v>
      </c>
      <c r="F17" s="14">
        <f t="shared" si="0"/>
        <v>1.0989295600000001E-2</v>
      </c>
    </row>
    <row r="18" spans="1:6" x14ac:dyDescent="0.25">
      <c r="A18" s="13" t="s">
        <v>31</v>
      </c>
      <c r="B18" s="13">
        <v>0.1</v>
      </c>
      <c r="C18" s="13">
        <v>0.1</v>
      </c>
      <c r="D18" s="13">
        <v>6.0000000000000001E-3</v>
      </c>
      <c r="E18" s="13">
        <v>3.6725999999999998E-3</v>
      </c>
      <c r="F18" s="14">
        <f t="shared" si="0"/>
        <v>1.0989295600000001E-2</v>
      </c>
    </row>
    <row r="19" spans="1:6" x14ac:dyDescent="0.25">
      <c r="A19" s="13" t="s">
        <v>32</v>
      </c>
      <c r="B19" s="13">
        <v>0.1</v>
      </c>
      <c r="C19" s="13">
        <v>0.14299999999999999</v>
      </c>
      <c r="D19" s="13">
        <v>6.0000000000000001E-3</v>
      </c>
      <c r="E19" s="13">
        <v>3.0500000000000002E-3</v>
      </c>
      <c r="F19" s="14">
        <f t="shared" si="0"/>
        <v>1.54813E-2</v>
      </c>
    </row>
    <row r="20" spans="1:6" x14ac:dyDescent="0.25">
      <c r="A20" s="13" t="s">
        <v>34</v>
      </c>
      <c r="B20" s="13">
        <v>0.1</v>
      </c>
      <c r="C20" s="13">
        <v>0.152</v>
      </c>
      <c r="D20" s="13">
        <v>6.0000000000000001E-3</v>
      </c>
      <c r="E20" s="13">
        <v>3.5750000000000001E-3</v>
      </c>
      <c r="F20" s="14">
        <f t="shared" si="0"/>
        <v>1.6490950000000001E-2</v>
      </c>
    </row>
    <row r="21" spans="1:6" x14ac:dyDescent="0.25">
      <c r="A21" s="13" t="s">
        <v>33</v>
      </c>
      <c r="B21" s="13">
        <v>0.10199999999999999</v>
      </c>
      <c r="C21" s="13">
        <v>0.19700000000000001</v>
      </c>
      <c r="D21" s="13">
        <v>6.0000000000000001E-3</v>
      </c>
      <c r="E21" s="13">
        <v>3.0249999999999999E-3</v>
      </c>
      <c r="F21" s="14">
        <f t="shared" si="0"/>
        <v>2.1602699999999999E-2</v>
      </c>
    </row>
    <row r="22" spans="1:6" x14ac:dyDescent="0.25">
      <c r="A22" s="13" t="s">
        <v>35</v>
      </c>
      <c r="B22" s="13">
        <v>0.105</v>
      </c>
      <c r="C22" s="13">
        <v>0.29899999999999999</v>
      </c>
      <c r="D22" s="13">
        <v>8.0000000000000002E-3</v>
      </c>
      <c r="E22" s="13"/>
      <c r="F22" s="14">
        <f t="shared" si="0"/>
        <v>3.3786999999999998E-2</v>
      </c>
    </row>
    <row r="23" spans="1:6" x14ac:dyDescent="0.25">
      <c r="A23" s="13" t="s">
        <v>36</v>
      </c>
      <c r="B23" s="13">
        <v>0.107</v>
      </c>
      <c r="C23" s="13">
        <v>6.3E-2</v>
      </c>
      <c r="D23" s="13">
        <v>0.01</v>
      </c>
      <c r="E23" s="13">
        <v>2.617E-3</v>
      </c>
      <c r="F23" s="14">
        <f t="shared" si="0"/>
        <v>7.6771889999999992E-3</v>
      </c>
    </row>
    <row r="24" spans="1:6" x14ac:dyDescent="0.25">
      <c r="A24" s="13" t="s">
        <v>51</v>
      </c>
      <c r="B24" s="13">
        <v>0.104</v>
      </c>
      <c r="C24" s="13">
        <v>0.17</v>
      </c>
      <c r="D24" s="13">
        <v>6.0000000000000001E-3</v>
      </c>
      <c r="E24" s="13">
        <v>3.0000000000000001E-3</v>
      </c>
      <c r="F24" s="14">
        <f t="shared" si="0"/>
        <v>1.9030000000000002E-2</v>
      </c>
    </row>
    <row r="25" spans="1:6" x14ac:dyDescent="0.25">
      <c r="A25" s="13" t="s">
        <v>42</v>
      </c>
      <c r="B25" s="13">
        <v>0.104</v>
      </c>
      <c r="C25" s="13">
        <v>0.155</v>
      </c>
      <c r="D25" s="13">
        <v>6.0000000000000001E-3</v>
      </c>
      <c r="E25" s="13">
        <v>5.5221300000000001E-3</v>
      </c>
      <c r="F25" s="14">
        <f t="shared" si="0"/>
        <v>1.76574343E-2</v>
      </c>
    </row>
    <row r="26" spans="1:6" x14ac:dyDescent="0.25">
      <c r="A26" s="13" t="s">
        <v>43</v>
      </c>
      <c r="B26" s="13">
        <v>0.104</v>
      </c>
      <c r="C26" s="13">
        <v>2.5000000000000001E-2</v>
      </c>
      <c r="D26" s="13">
        <v>0</v>
      </c>
      <c r="E26" s="13">
        <v>2.7507E-3</v>
      </c>
      <c r="F26" s="14">
        <f t="shared" si="0"/>
        <v>2.8860728000000002E-3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4F4889-B582-4C8C-9980-CD1551026D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</vt:lpstr>
      <vt:lpstr>Caixa</vt:lpstr>
      <vt:lpstr>Substrato</vt:lpstr>
      <vt:lpstr>Tubete</vt:lpstr>
      <vt:lpstr>Faca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Daniel Gontijo</cp:lastModifiedBy>
  <dcterms:created xsi:type="dcterms:W3CDTF">2024-09-27T19:08:28Z</dcterms:created>
  <dcterms:modified xsi:type="dcterms:W3CDTF">2026-07-08T20:21:44Z</dcterms:modified>
</cp:coreProperties>
</file>